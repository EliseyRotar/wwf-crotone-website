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OR 2021 - 2027\Linea strategica LS1-3- associazioni\convenzione\format da inviare\"/>
    </mc:Choice>
  </mc:AlternateContent>
  <xr:revisionPtr revIDLastSave="0" documentId="8_{20EB6E78-9EC6-4DCD-9660-610AE1C6273A}" xr6:coauthVersionLast="36" xr6:coauthVersionMax="36" xr10:uidLastSave="{00000000-0000-0000-0000-000000000000}"/>
  <bookViews>
    <workbookView xWindow="0" yWindow="0" windowWidth="28800" windowHeight="12105" xr2:uid="{2A08A7B8-749F-475F-9681-4D7D66572058}"/>
  </bookViews>
  <sheets>
    <sheet name="mese" sheetId="1" r:id="rId1"/>
    <sheet name="esemp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1" i="2" l="1"/>
  <c r="Y44" i="2"/>
  <c r="W44" i="2"/>
  <c r="T44" i="2"/>
  <c r="R44" i="2"/>
  <c r="K44" i="2"/>
  <c r="I44" i="2"/>
  <c r="E44" i="2"/>
  <c r="D44" i="2"/>
  <c r="AI43" i="2"/>
  <c r="AI42" i="2"/>
  <c r="AI41" i="2"/>
  <c r="AI40" i="2"/>
  <c r="AI39" i="2"/>
  <c r="AI38" i="2"/>
  <c r="AI37" i="2"/>
  <c r="AI36" i="2"/>
  <c r="AH35" i="2"/>
  <c r="AH44" i="2" s="1"/>
  <c r="AG35" i="2"/>
  <c r="AG44" i="2" s="1"/>
  <c r="AF35" i="2"/>
  <c r="AF44" i="2" s="1"/>
  <c r="AE35" i="2"/>
  <c r="AE44" i="2" s="1"/>
  <c r="AD35" i="2"/>
  <c r="AD44" i="2" s="1"/>
  <c r="AA35" i="2"/>
  <c r="AA44" i="2" s="1"/>
  <c r="Z35" i="2"/>
  <c r="Z44" i="2" s="1"/>
  <c r="Y35" i="2"/>
  <c r="X35" i="2"/>
  <c r="X44" i="2" s="1"/>
  <c r="W35" i="2"/>
  <c r="T35" i="2"/>
  <c r="S35" i="2"/>
  <c r="S44" i="2" s="1"/>
  <c r="R35" i="2"/>
  <c r="Q35" i="2"/>
  <c r="Q44" i="2" s="1"/>
  <c r="P35" i="2"/>
  <c r="P44" i="2" s="1"/>
  <c r="M35" i="2"/>
  <c r="M44" i="2" s="1"/>
  <c r="L35" i="2"/>
  <c r="L44" i="2" s="1"/>
  <c r="K35" i="2"/>
  <c r="J35" i="2"/>
  <c r="J44" i="2" s="1"/>
  <c r="I35" i="2"/>
  <c r="F35" i="2"/>
  <c r="F44" i="2" s="1"/>
  <c r="E35" i="2"/>
  <c r="D35" i="2"/>
  <c r="AI34" i="2"/>
  <c r="AI33" i="2"/>
  <c r="AI32" i="2"/>
  <c r="AI35" i="2"/>
  <c r="AI44" i="2" s="1"/>
  <c r="AI31" i="1"/>
  <c r="AE46" i="1"/>
  <c r="AA46" i="1"/>
  <c r="Z46" i="1"/>
  <c r="AI45" i="1"/>
  <c r="AI44" i="1"/>
  <c r="AI43" i="1"/>
  <c r="AI42" i="1"/>
  <c r="AH41" i="1"/>
  <c r="AG41" i="1"/>
  <c r="AG46" i="1" s="1"/>
  <c r="AF41" i="1"/>
  <c r="AF46" i="1" s="1"/>
  <c r="AE41" i="1"/>
  <c r="AD41" i="1"/>
  <c r="AD46" i="1" s="1"/>
  <c r="AC41" i="1"/>
  <c r="AC46" i="1" s="1"/>
  <c r="AB41" i="1"/>
  <c r="AB46" i="1" s="1"/>
  <c r="AA41" i="1"/>
  <c r="Z41" i="1"/>
  <c r="Y41" i="1"/>
  <c r="Y46" i="1" s="1"/>
  <c r="X41" i="1"/>
  <c r="X46" i="1" s="1"/>
  <c r="W41" i="1"/>
  <c r="W46" i="1" s="1"/>
  <c r="V41" i="1"/>
  <c r="V46" i="1" s="1"/>
  <c r="U41" i="1"/>
  <c r="U46" i="1" s="1"/>
  <c r="T41" i="1"/>
  <c r="T46" i="1" s="1"/>
  <c r="S41" i="1"/>
  <c r="S46" i="1" s="1"/>
  <c r="R41" i="1"/>
  <c r="R46" i="1" s="1"/>
  <c r="Q41" i="1"/>
  <c r="Q46" i="1" s="1"/>
  <c r="P41" i="1"/>
  <c r="P46" i="1" s="1"/>
  <c r="O41" i="1"/>
  <c r="O46" i="1" s="1"/>
  <c r="N41" i="1"/>
  <c r="N46" i="1" s="1"/>
  <c r="M41" i="1"/>
  <c r="M46" i="1" s="1"/>
  <c r="L41" i="1"/>
  <c r="L46" i="1" s="1"/>
  <c r="K41" i="1"/>
  <c r="K46" i="1" s="1"/>
  <c r="J41" i="1"/>
  <c r="J46" i="1" s="1"/>
  <c r="I41" i="1"/>
  <c r="I46" i="1" s="1"/>
  <c r="H41" i="1"/>
  <c r="H46" i="1" s="1"/>
  <c r="G41" i="1"/>
  <c r="G46" i="1" s="1"/>
  <c r="F41" i="1"/>
  <c r="F46" i="1" s="1"/>
  <c r="E41" i="1"/>
  <c r="E46" i="1" s="1"/>
  <c r="D41" i="1"/>
  <c r="D46" i="1" s="1"/>
  <c r="AI40" i="1"/>
  <c r="AI39" i="1"/>
  <c r="AI38" i="1"/>
  <c r="AI37" i="1"/>
  <c r="AI36" i="1"/>
  <c r="AI35" i="1"/>
  <c r="AI34" i="1"/>
  <c r="AI33" i="1"/>
  <c r="AI32" i="1"/>
  <c r="AI41" i="1" s="1"/>
  <c r="AI46" i="1" s="1"/>
</calcChain>
</file>

<file path=xl/sharedStrings.xml><?xml version="1.0" encoding="utf-8"?>
<sst xmlns="http://schemas.openxmlformats.org/spreadsheetml/2006/main" count="56" uniqueCount="39">
  <si>
    <t>Inserire logo beneficiario</t>
  </si>
  <si>
    <t>Timesheet della risorsa umana impegnata nel progetto</t>
  </si>
  <si>
    <t xml:space="preserve">Timesheet del mese di:  </t>
  </si>
  <si>
    <t xml:space="preserve">Anno </t>
  </si>
  <si>
    <t xml:space="preserve">Cognome e nome </t>
  </si>
  <si>
    <t>C. F.  Risorsa</t>
  </si>
  <si>
    <t xml:space="preserve">CUP </t>
  </si>
  <si>
    <t>N° Convenzione di sovvenzione</t>
  </si>
  <si>
    <t>Beneficiario (Ambito territoriale/Comune)</t>
  </si>
  <si>
    <t>CCNL di Riferimento</t>
  </si>
  <si>
    <t>Categoria  Contrattuale</t>
  </si>
  <si>
    <t>Ore settimanali da contratto</t>
  </si>
  <si>
    <t xml:space="preserve">Attività </t>
  </si>
  <si>
    <t>MESE di ____________Anno _______</t>
  </si>
  <si>
    <t>Totale 
(convertito in centesimi)</t>
  </si>
  <si>
    <t>Totale Ore Attività Progetto</t>
  </si>
  <si>
    <t>Altre attività</t>
  </si>
  <si>
    <t>Permessi e Riposi Compensativi</t>
  </si>
  <si>
    <t>Ferie e Malattia</t>
  </si>
  <si>
    <t>Festività</t>
  </si>
  <si>
    <t>Totale Generale</t>
  </si>
  <si>
    <t>Data di compilazione ________________</t>
  </si>
  <si>
    <t>Firma Operatore</t>
  </si>
  <si>
    <t>Firma del Legale Rappresentante Ente</t>
  </si>
  <si>
    <t xml:space="preserve">Note: </t>
  </si>
  <si>
    <r>
      <rPr>
        <i/>
        <sz val="11"/>
        <color indexed="8"/>
        <rFont val="Arial"/>
        <family val="2"/>
      </rPr>
      <t>•</t>
    </r>
    <r>
      <rPr>
        <i/>
        <sz val="8.8000000000000007"/>
        <color indexed="8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Ripetere il presente foglio di lavoro per ciascuna risorsa umana impiegata nel progetto</t>
    </r>
  </si>
  <si>
    <t>• Le singole celle delle giornate sono formattate in formato Ora. Inserire l'orario di lavoro con i due punti altrimenti il file restituisce 0:00:00</t>
  </si>
  <si>
    <r>
      <t xml:space="preserve">• La colonna TOTALE (convertito in centesimi) contiene una formula che somma le ore lavorate e le converte direttamente in base 100 (in coerenza con il formato da utilizzare per l'implementazione a sistema SIGMA). </t>
    </r>
    <r>
      <rPr>
        <b/>
        <i/>
        <sz val="11"/>
        <color indexed="8"/>
        <rFont val="Calibri"/>
        <family val="2"/>
      </rPr>
      <t xml:space="preserve">N.B. </t>
    </r>
    <r>
      <rPr>
        <i/>
        <sz val="11"/>
        <color indexed="8"/>
        <rFont val="Calibri"/>
        <family val="2"/>
      </rPr>
      <t>La colonna è bloccata per evitare l'eliminazione della formula.</t>
    </r>
  </si>
  <si>
    <t>Timesheet per ogni singola risorsa umana impegnata nel progetto</t>
  </si>
  <si>
    <t xml:space="preserve">Cognome e nome 
</t>
  </si>
  <si>
    <t>MESE di Gennaio Anno 2020</t>
  </si>
  <si>
    <t>Altre attività ordinarie</t>
  </si>
  <si>
    <t>Permessi</t>
  </si>
  <si>
    <t>Riposi Compensativi</t>
  </si>
  <si>
    <t>Ferie</t>
  </si>
  <si>
    <t>Malattia</t>
  </si>
  <si>
    <t>Altro</t>
  </si>
  <si>
    <t>Nota: ripetere il pèresente foglio di lavoro per ciascuna risorsa umana impiegata nel progetto</t>
  </si>
  <si>
    <t>Data di compilazione 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</si>
</sst>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;@"/>
    <numFmt numFmtId="165" formatCode="d"/>
    <numFmt numFmtId="166" formatCode="[$-F400]h:mm:ss\ AM/PM"/>
  </numFmts>
  <fonts count="17" x14ac:knownFonts="1">
    <font>
      <sz val="11"/>
      <color theme="1"/>
      <name val="Garamond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indexed="8"/>
      <name val="Arial"/>
      <family val="2"/>
    </font>
    <font>
      <i/>
      <sz val="8.8000000000000007"/>
      <color indexed="8"/>
      <name val="Calibri"/>
      <family val="2"/>
    </font>
    <font>
      <i/>
      <sz val="11"/>
      <color indexed="8"/>
      <name val="Calibri"/>
      <family val="2"/>
    </font>
    <font>
      <b/>
      <i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justify"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justify"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0" xfId="0" applyFont="1" applyBorder="1" applyAlignment="1" applyProtection="1">
      <protection locked="0"/>
    </xf>
    <xf numFmtId="0" fontId="6" fillId="0" borderId="5" xfId="0" applyFont="1" applyBorder="1" applyAlignment="1" applyProtection="1">
      <protection locked="0"/>
    </xf>
    <xf numFmtId="0" fontId="6" fillId="0" borderId="0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0" borderId="0" xfId="0" applyFont="1" applyBorder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5" xfId="0" applyFont="1" applyBorder="1" applyAlignment="1" applyProtection="1">
      <protection locked="0"/>
    </xf>
    <xf numFmtId="0" fontId="7" fillId="0" borderId="0" xfId="0" applyFont="1" applyBorder="1" applyAlignment="1" applyProtection="1">
      <protection locked="0"/>
    </xf>
    <xf numFmtId="0" fontId="0" fillId="0" borderId="5" xfId="0" applyBorder="1" applyProtection="1"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8" fillId="0" borderId="0" xfId="0" applyFont="1" applyProtection="1">
      <protection locked="0"/>
    </xf>
    <xf numFmtId="164" fontId="9" fillId="2" borderId="1" xfId="0" applyNumberFormat="1" applyFont="1" applyFill="1" applyBorder="1" applyAlignment="1" applyProtection="1">
      <alignment horizontal="center" vertical="center"/>
      <protection locked="0"/>
    </xf>
    <xf numFmtId="17" fontId="9" fillId="2" borderId="9" xfId="0" quotePrefix="1" applyNumberFormat="1" applyFont="1" applyFill="1" applyBorder="1" applyAlignment="1" applyProtection="1">
      <alignment horizontal="center"/>
      <protection locked="0"/>
    </xf>
    <xf numFmtId="17" fontId="9" fillId="2" borderId="5" xfId="0" quotePrefix="1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165" fontId="10" fillId="3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7" fillId="0" borderId="10" xfId="0" applyNumberFormat="1" applyFont="1" applyBorder="1" applyAlignment="1" applyProtection="1">
      <alignment horizontal="left" wrapText="1"/>
      <protection locked="0"/>
    </xf>
    <xf numFmtId="164" fontId="7" fillId="0" borderId="11" xfId="0" applyNumberFormat="1" applyFont="1" applyBorder="1" applyAlignment="1" applyProtection="1">
      <alignment horizontal="left" wrapText="1"/>
      <protection locked="0"/>
    </xf>
    <xf numFmtId="166" fontId="7" fillId="0" borderId="12" xfId="0" applyNumberFormat="1" applyFont="1" applyFill="1" applyBorder="1" applyAlignment="1" applyProtection="1">
      <alignment horizontal="center" vertical="center"/>
      <protection locked="0"/>
    </xf>
    <xf numFmtId="2" fontId="7" fillId="0" borderId="13" xfId="0" applyNumberFormat="1" applyFont="1" applyFill="1" applyBorder="1" applyAlignment="1" applyProtection="1">
      <alignment horizontal="center" vertical="center"/>
    </xf>
    <xf numFmtId="164" fontId="7" fillId="0" borderId="14" xfId="0" applyNumberFormat="1" applyFont="1" applyBorder="1" applyAlignment="1" applyProtection="1">
      <alignment horizontal="left" wrapText="1"/>
      <protection locked="0"/>
    </xf>
    <xf numFmtId="164" fontId="7" fillId="0" borderId="15" xfId="0" applyNumberFormat="1" applyFont="1" applyBorder="1" applyAlignment="1" applyProtection="1">
      <alignment horizontal="left" wrapText="1"/>
      <protection locked="0"/>
    </xf>
    <xf numFmtId="164" fontId="6" fillId="0" borderId="6" xfId="0" applyNumberFormat="1" applyFont="1" applyBorder="1" applyAlignment="1" applyProtection="1">
      <alignment horizontal="center" wrapText="1"/>
      <protection locked="0"/>
    </xf>
    <xf numFmtId="164" fontId="6" fillId="0" borderId="8" xfId="0" applyNumberFormat="1" applyFont="1" applyBorder="1" applyAlignment="1" applyProtection="1">
      <alignment horizontal="center" wrapText="1"/>
      <protection locked="0"/>
    </xf>
    <xf numFmtId="2" fontId="6" fillId="0" borderId="1" xfId="0" applyNumberFormat="1" applyFont="1" applyFill="1" applyBorder="1" applyAlignment="1" applyProtection="1">
      <alignment horizontal="center" vertical="center"/>
    </xf>
    <xf numFmtId="164" fontId="7" fillId="0" borderId="16" xfId="0" applyNumberFormat="1" applyFont="1" applyBorder="1" applyAlignment="1" applyProtection="1">
      <alignment horizontal="left" wrapText="1"/>
      <protection locked="0"/>
    </xf>
    <xf numFmtId="164" fontId="7" fillId="0" borderId="17" xfId="0" applyNumberFormat="1" applyFont="1" applyBorder="1" applyAlignment="1" applyProtection="1">
      <alignment horizontal="left" wrapText="1"/>
      <protection locked="0"/>
    </xf>
    <xf numFmtId="2" fontId="7" fillId="0" borderId="18" xfId="0" applyNumberFormat="1" applyFont="1" applyFill="1" applyBorder="1" applyAlignment="1" applyProtection="1">
      <alignment horizontal="center" vertical="center"/>
    </xf>
    <xf numFmtId="164" fontId="7" fillId="0" borderId="19" xfId="0" applyNumberFormat="1" applyFont="1" applyBorder="1" applyAlignment="1" applyProtection="1">
      <alignment horizontal="left" wrapText="1"/>
      <protection locked="0"/>
    </xf>
    <xf numFmtId="164" fontId="7" fillId="0" borderId="20" xfId="0" applyNumberFormat="1" applyFont="1" applyBorder="1" applyAlignment="1" applyProtection="1">
      <alignment horizontal="left" wrapText="1"/>
      <protection locked="0"/>
    </xf>
    <xf numFmtId="0" fontId="6" fillId="4" borderId="9" xfId="0" applyFont="1" applyFill="1" applyBorder="1" applyAlignment="1" applyProtection="1">
      <alignment horizontal="center" vertical="center" wrapText="1"/>
      <protection locked="0"/>
    </xf>
    <xf numFmtId="0" fontId="6" fillId="4" borderId="21" xfId="0" applyFont="1" applyFill="1" applyBorder="1" applyAlignment="1" applyProtection="1">
      <alignment horizontal="center" vertical="center" wrapText="1"/>
      <protection locked="0"/>
    </xf>
    <xf numFmtId="2" fontId="6" fillId="5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Alignment="1" applyProtection="1">
      <protection locked="0"/>
    </xf>
    <xf numFmtId="0" fontId="6" fillId="0" borderId="0" xfId="0" applyFont="1" applyBorder="1" applyAlignment="1" applyProtection="1">
      <alignment wrapText="1"/>
      <protection locked="0"/>
    </xf>
    <xf numFmtId="0" fontId="7" fillId="0" borderId="0" xfId="0" applyFont="1" applyAlignment="1" applyProtection="1">
      <protection locked="0"/>
    </xf>
    <xf numFmtId="0" fontId="7" fillId="0" borderId="5" xfId="0" applyFont="1" applyBorder="1" applyAlignment="1" applyProtection="1">
      <alignment horizontal="right"/>
      <protection locked="0"/>
    </xf>
    <xf numFmtId="0" fontId="7" fillId="0" borderId="0" xfId="0" applyFont="1" applyFill="1" applyProtection="1">
      <protection locked="0"/>
    </xf>
    <xf numFmtId="164" fontId="9" fillId="2" borderId="22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23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7" xfId="0" applyNumberFormat="1" applyFont="1" applyFill="1" applyBorder="1" applyAlignment="1" applyProtection="1">
      <alignment horizontal="center" vertical="center" wrapText="1"/>
      <protection locked="0"/>
    </xf>
    <xf numFmtId="164" fontId="7" fillId="0" borderId="18" xfId="0" applyNumberFormat="1" applyFont="1" applyBorder="1" applyAlignment="1" applyProtection="1">
      <alignment horizontal="left" vertical="center" wrapText="1"/>
      <protection locked="0"/>
    </xf>
    <xf numFmtId="2" fontId="7" fillId="5" borderId="12" xfId="0" applyNumberFormat="1" applyFont="1" applyFill="1" applyBorder="1" applyAlignment="1" applyProtection="1">
      <alignment horizontal="center" vertical="center"/>
      <protection locked="0"/>
    </xf>
    <xf numFmtId="166" fontId="7" fillId="0" borderId="13" xfId="0" applyNumberFormat="1" applyFont="1" applyFill="1" applyBorder="1" applyAlignment="1" applyProtection="1">
      <alignment horizontal="center" vertical="center"/>
      <protection locked="0"/>
    </xf>
    <xf numFmtId="2" fontId="7" fillId="0" borderId="12" xfId="0" applyNumberFormat="1" applyFont="1" applyFill="1" applyBorder="1" applyAlignment="1" applyProtection="1">
      <alignment horizontal="center" vertical="center"/>
    </xf>
    <xf numFmtId="166" fontId="7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2" fontId="7" fillId="5" borderId="3" xfId="0" applyNumberFormat="1" applyFont="1" applyFill="1" applyBorder="1" applyAlignment="1" applyProtection="1">
      <alignment horizontal="center" vertical="center"/>
      <protection locked="0"/>
    </xf>
    <xf numFmtId="166" fontId="7" fillId="0" borderId="18" xfId="0" applyNumberFormat="1" applyFont="1" applyFill="1" applyBorder="1" applyAlignment="1" applyProtection="1">
      <alignment horizontal="center" vertical="center"/>
      <protection locked="0"/>
    </xf>
    <xf numFmtId="2" fontId="7" fillId="5" borderId="18" xfId="0" applyNumberFormat="1" applyFont="1" applyFill="1" applyBorder="1" applyAlignment="1" applyProtection="1">
      <alignment horizontal="center" vertical="center"/>
      <protection locked="0"/>
    </xf>
    <xf numFmtId="166" fontId="7" fillId="0" borderId="24" xfId="0" applyNumberFormat="1" applyFont="1" applyFill="1" applyBorder="1" applyAlignment="1" applyProtection="1">
      <alignment horizontal="center" vertical="center"/>
      <protection locked="0"/>
    </xf>
    <xf numFmtId="2" fontId="7" fillId="5" borderId="24" xfId="0" applyNumberFormat="1" applyFont="1" applyFill="1" applyBorder="1" applyAlignment="1" applyProtection="1">
      <alignment horizontal="center" vertical="center"/>
      <protection locked="0"/>
    </xf>
    <xf numFmtId="2" fontId="7" fillId="5" borderId="25" xfId="0" applyNumberFormat="1" applyFont="1" applyFill="1" applyBorder="1" applyAlignment="1" applyProtection="1">
      <alignment horizontal="center" vertical="center"/>
      <protection locked="0"/>
    </xf>
    <xf numFmtId="166" fontId="7" fillId="0" borderId="26" xfId="0" applyNumberFormat="1" applyFont="1" applyFill="1" applyBorder="1" applyAlignment="1" applyProtection="1">
      <alignment horizontal="center" vertical="center"/>
      <protection locked="0"/>
    </xf>
    <xf numFmtId="166" fontId="7" fillId="0" borderId="27" xfId="0" applyNumberFormat="1" applyFont="1" applyFill="1" applyBorder="1" applyAlignment="1" applyProtection="1">
      <alignment horizontal="center" vertical="center"/>
      <protection locked="0"/>
    </xf>
    <xf numFmtId="164" fontId="6" fillId="0" borderId="6" xfId="0" applyNumberFormat="1" applyFont="1" applyBorder="1" applyAlignment="1" applyProtection="1">
      <alignment horizontal="center" vertical="center" wrapText="1"/>
      <protection locked="0"/>
    </xf>
    <xf numFmtId="164" fontId="6" fillId="0" borderId="8" xfId="0" applyNumberFormat="1" applyFont="1" applyBorder="1" applyAlignment="1" applyProtection="1">
      <alignment horizontal="center" vertical="center" wrapText="1"/>
      <protection locked="0"/>
    </xf>
    <xf numFmtId="2" fontId="6" fillId="6" borderId="1" xfId="0" applyNumberFormat="1" applyFont="1" applyFill="1" applyBorder="1" applyAlignment="1" applyProtection="1">
      <alignment horizontal="center" vertical="center"/>
    </xf>
    <xf numFmtId="2" fontId="6" fillId="0" borderId="0" xfId="0" applyNumberFormat="1" applyFont="1" applyFill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left" vertical="center" wrapText="1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6" fillId="4" borderId="21" xfId="0" applyFont="1" applyFill="1" applyBorder="1" applyAlignment="1" applyProtection="1">
      <alignment horizontal="center"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586376</xdr:colOff>
      <xdr:row>29</xdr:row>
      <xdr:rowOff>23495</xdr:rowOff>
    </xdr:from>
    <xdr:to>
      <xdr:col>35</xdr:col>
      <xdr:colOff>75146</xdr:colOff>
      <xdr:row>30</xdr:row>
      <xdr:rowOff>35709</xdr:rowOff>
    </xdr:to>
    <xdr:sp macro="" textlink="">
      <xdr:nvSpPr>
        <xdr:cNvPr id="2" name="Ovale 1">
          <a:extLst>
            <a:ext uri="{FF2B5EF4-FFF2-40B4-BE49-F238E27FC236}">
              <a16:creationId xmlns:a16="http://schemas.microsoft.com/office/drawing/2014/main" id="{115ACB35-E253-4A40-9993-C1CDA78A9395}"/>
            </a:ext>
          </a:extLst>
        </xdr:cNvPr>
        <xdr:cNvSpPr/>
      </xdr:nvSpPr>
      <xdr:spPr>
        <a:xfrm>
          <a:off x="23122526" y="6062345"/>
          <a:ext cx="1241370" cy="564664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t-IT"/>
        </a:p>
      </xdr:txBody>
    </xdr:sp>
    <xdr:clientData/>
  </xdr:twoCellAnchor>
  <xdr:twoCellAnchor>
    <xdr:from>
      <xdr:col>34</xdr:col>
      <xdr:colOff>4051</xdr:colOff>
      <xdr:row>33</xdr:row>
      <xdr:rowOff>208310</xdr:rowOff>
    </xdr:from>
    <xdr:to>
      <xdr:col>35</xdr:col>
      <xdr:colOff>43693</xdr:colOff>
      <xdr:row>35</xdr:row>
      <xdr:rowOff>27415</xdr:rowOff>
    </xdr:to>
    <xdr:sp macro="" textlink="">
      <xdr:nvSpPr>
        <xdr:cNvPr id="3" name="Ovale 2">
          <a:extLst>
            <a:ext uri="{FF2B5EF4-FFF2-40B4-BE49-F238E27FC236}">
              <a16:creationId xmlns:a16="http://schemas.microsoft.com/office/drawing/2014/main" id="{91E79A3A-CAE0-47FD-B0DB-7379D484CBC7}"/>
            </a:ext>
          </a:extLst>
        </xdr:cNvPr>
        <xdr:cNvSpPr/>
      </xdr:nvSpPr>
      <xdr:spPr>
        <a:xfrm>
          <a:off x="23149801" y="7352060"/>
          <a:ext cx="1182642" cy="26678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it-IT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25B5-7AF9-4F87-A9C3-7602E6206C01}">
  <dimension ref="A1:AI61"/>
  <sheetViews>
    <sheetView tabSelected="1" zoomScale="55" zoomScaleNormal="55" workbookViewId="0">
      <selection activeCell="Q20" sqref="Q20"/>
    </sheetView>
  </sheetViews>
  <sheetFormatPr defaultRowHeight="15" x14ac:dyDescent="0.25"/>
  <cols>
    <col min="1" max="1" width="6.140625" customWidth="1"/>
    <col min="2" max="2" width="47.85546875" customWidth="1"/>
    <col min="3" max="3" width="24.85546875" customWidth="1"/>
    <col min="4" max="34" width="11.140625" customWidth="1"/>
    <col min="35" max="35" width="31.5703125" customWidth="1"/>
  </cols>
  <sheetData>
    <row r="1" spans="1:35" x14ac:dyDescent="0.25">
      <c r="A1" s="1"/>
      <c r="B1" s="2"/>
      <c r="C1" s="3" t="s">
        <v>0</v>
      </c>
      <c r="D1" s="4"/>
      <c r="E1" s="5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"/>
      <c r="B2" s="2"/>
      <c r="C2" s="7"/>
      <c r="D2" s="4"/>
      <c r="E2" s="5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1"/>
      <c r="B3" s="2"/>
      <c r="C3" s="7"/>
      <c r="D3" s="4"/>
      <c r="E3" s="5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25">
      <c r="A4" s="1"/>
      <c r="B4" s="2"/>
      <c r="C4" s="7"/>
      <c r="D4" s="4"/>
      <c r="E4" s="5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5">
      <c r="A5" s="1"/>
      <c r="B5" s="2"/>
      <c r="C5" s="7"/>
      <c r="D5" s="4"/>
      <c r="E5" s="5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5">
      <c r="A6" s="1"/>
      <c r="B6" s="2"/>
      <c r="C6" s="7"/>
      <c r="D6" s="4"/>
      <c r="E6" s="5"/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25">
      <c r="A7" s="1"/>
      <c r="B7" s="2"/>
      <c r="C7" s="7"/>
      <c r="D7" s="4"/>
      <c r="E7" s="5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5">
      <c r="A8" s="1"/>
      <c r="B8" s="2"/>
      <c r="C8" s="7"/>
      <c r="D8" s="4"/>
      <c r="E8" s="5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5">
      <c r="A9" s="1"/>
      <c r="B9" s="2"/>
      <c r="C9" s="8"/>
      <c r="D9" s="4"/>
      <c r="E9" s="5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75" x14ac:dyDescent="0.25">
      <c r="A10" s="1"/>
      <c r="B10" s="1"/>
      <c r="C10" s="1"/>
      <c r="D10" s="9"/>
      <c r="E10" s="10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22.5" x14ac:dyDescent="0.3">
      <c r="A12" s="1"/>
      <c r="B12" s="12" t="s">
        <v>1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22.5" x14ac:dyDescent="0.3">
      <c r="A13" s="1"/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5">
      <c r="A15" s="1"/>
      <c r="B15" s="16" t="s">
        <v>2</v>
      </c>
      <c r="C15" s="17"/>
      <c r="D15" s="1"/>
      <c r="E15" s="18" t="s">
        <v>3</v>
      </c>
      <c r="F15" s="19"/>
      <c r="G15" s="19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5" x14ac:dyDescent="0.25">
      <c r="A16" s="1"/>
      <c r="B16" s="22"/>
      <c r="C16" s="21"/>
      <c r="D16" s="1"/>
      <c r="E16" s="20"/>
      <c r="F16" s="18"/>
      <c r="G16" s="20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spans="1:35" x14ac:dyDescent="0.25">
      <c r="A17" s="1"/>
      <c r="B17" s="16" t="s">
        <v>4</v>
      </c>
      <c r="C17" s="23"/>
      <c r="D17" s="19"/>
      <c r="E17" s="19"/>
      <c r="F17" s="19"/>
      <c r="G17" s="19"/>
      <c r="H17" s="20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5" x14ac:dyDescent="0.25">
      <c r="A18" s="1"/>
      <c r="B18" s="16"/>
      <c r="C18" s="24"/>
      <c r="D18" s="20"/>
      <c r="E18" s="20"/>
      <c r="F18" s="20"/>
      <c r="G18" s="20"/>
      <c r="H18" s="20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spans="1:35" x14ac:dyDescent="0.25">
      <c r="A19" s="1"/>
      <c r="B19" s="16" t="s">
        <v>5</v>
      </c>
      <c r="C19" s="19"/>
      <c r="D19" s="25"/>
      <c r="E19" s="19"/>
      <c r="F19" s="19"/>
      <c r="G19" s="19"/>
      <c r="H19" s="20"/>
      <c r="I19" s="20"/>
      <c r="J19" s="20"/>
      <c r="K19" s="20"/>
      <c r="L19" s="20"/>
      <c r="M19" s="20"/>
      <c r="N19" s="21"/>
      <c r="O19" s="21"/>
      <c r="P19" s="21"/>
      <c r="Q19" s="22" t="s">
        <v>6</v>
      </c>
      <c r="R19" s="26"/>
      <c r="S19" s="27"/>
      <c r="T19" s="27"/>
      <c r="U19" s="28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5" x14ac:dyDescent="0.25">
      <c r="A20" s="1"/>
      <c r="B20" s="22"/>
      <c r="C20" s="21"/>
      <c r="D20" s="20"/>
      <c r="E20" s="20"/>
      <c r="F20" s="20"/>
      <c r="G20" s="20"/>
      <c r="H20" s="20"/>
      <c r="I20" s="21"/>
      <c r="J20" s="21"/>
      <c r="K20" s="21"/>
      <c r="L20" s="21"/>
      <c r="M20" s="21"/>
      <c r="N20" s="21"/>
      <c r="O20" s="21"/>
      <c r="P20" s="21"/>
      <c r="Q20" s="22" t="s">
        <v>7</v>
      </c>
      <c r="R20" s="21"/>
      <c r="S20" s="21"/>
      <c r="T20" s="21"/>
      <c r="U20" s="21"/>
      <c r="V20" s="26"/>
      <c r="W20" s="27"/>
      <c r="X20" s="27"/>
      <c r="Y20" s="27"/>
      <c r="Z20" s="28"/>
      <c r="AA20" s="21"/>
      <c r="AB20" s="21"/>
      <c r="AC20" s="21"/>
      <c r="AD20" s="21"/>
      <c r="AE20" s="21"/>
      <c r="AF20" s="21"/>
      <c r="AG20" s="21"/>
      <c r="AH20" s="21"/>
      <c r="AI20" s="21"/>
    </row>
    <row r="21" spans="1:35" x14ac:dyDescent="0.25">
      <c r="A21" s="1"/>
      <c r="B21" s="29" t="s">
        <v>8</v>
      </c>
      <c r="C21" s="19"/>
      <c r="D21" s="25"/>
      <c r="E21" s="19"/>
      <c r="F21" s="19"/>
      <c r="G21" s="19"/>
      <c r="H21" s="2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x14ac:dyDescent="0.25">
      <c r="A22" s="1"/>
      <c r="B22" s="22"/>
      <c r="C22" s="21"/>
      <c r="D22" s="20"/>
      <c r="E22" s="20"/>
      <c r="F22" s="20"/>
      <c r="G22" s="20"/>
      <c r="H22" s="2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x14ac:dyDescent="0.25">
      <c r="A23" s="1"/>
      <c r="B23" s="30" t="s">
        <v>9</v>
      </c>
      <c r="C23" s="19"/>
      <c r="D23" s="25"/>
      <c r="E23" s="19"/>
      <c r="F23" s="19"/>
      <c r="G23" s="19"/>
      <c r="H23" s="19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x14ac:dyDescent="0.25">
      <c r="A24" s="1"/>
      <c r="B24" s="30"/>
      <c r="C24" s="1"/>
      <c r="D24" s="20"/>
      <c r="E24" s="20"/>
      <c r="F24" s="20"/>
      <c r="G24" s="20"/>
      <c r="H24" s="2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x14ac:dyDescent="0.25">
      <c r="A25" s="1"/>
      <c r="B25" s="16" t="s">
        <v>10</v>
      </c>
      <c r="C25" s="19"/>
      <c r="D25" s="25"/>
      <c r="E25" s="19"/>
      <c r="F25" s="19"/>
      <c r="G25" s="19"/>
      <c r="H25" s="20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x14ac:dyDescent="0.25">
      <c r="A26" s="1"/>
      <c r="B26" s="16"/>
      <c r="C26" s="24"/>
      <c r="D26" s="20"/>
      <c r="E26" s="20"/>
      <c r="F26" s="20"/>
      <c r="G26" s="20"/>
      <c r="H26" s="20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x14ac:dyDescent="0.25">
      <c r="A27" s="1"/>
      <c r="B27" s="16" t="s">
        <v>11</v>
      </c>
      <c r="C27" s="19"/>
      <c r="D27" s="25"/>
      <c r="E27" s="19"/>
      <c r="F27" s="19"/>
      <c r="G27" s="19"/>
      <c r="H27" s="20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x14ac:dyDescent="0.25">
      <c r="A28" s="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x14ac:dyDescent="0.25">
      <c r="A29" s="1"/>
      <c r="B29" s="31" t="s">
        <v>12</v>
      </c>
      <c r="C29" s="31"/>
      <c r="D29" s="32" t="s">
        <v>13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</row>
    <row r="30" spans="1:35" ht="28.5" x14ac:dyDescent="0.25">
      <c r="A30" s="34"/>
      <c r="B30" s="31"/>
      <c r="C30" s="31"/>
      <c r="D30" s="35">
        <v>42370</v>
      </c>
      <c r="E30" s="35">
        <v>42371</v>
      </c>
      <c r="F30" s="35">
        <v>42372</v>
      </c>
      <c r="G30" s="35">
        <v>42373</v>
      </c>
      <c r="H30" s="35">
        <v>42374</v>
      </c>
      <c r="I30" s="35">
        <v>42375</v>
      </c>
      <c r="J30" s="35">
        <v>42376</v>
      </c>
      <c r="K30" s="35">
        <v>42377</v>
      </c>
      <c r="L30" s="35">
        <v>42378</v>
      </c>
      <c r="M30" s="35">
        <v>42379</v>
      </c>
      <c r="N30" s="35">
        <v>42380</v>
      </c>
      <c r="O30" s="35">
        <v>42381</v>
      </c>
      <c r="P30" s="35">
        <v>42382</v>
      </c>
      <c r="Q30" s="35">
        <v>42383</v>
      </c>
      <c r="R30" s="35">
        <v>42384</v>
      </c>
      <c r="S30" s="35">
        <v>42385</v>
      </c>
      <c r="T30" s="35">
        <v>42386</v>
      </c>
      <c r="U30" s="35">
        <v>42387</v>
      </c>
      <c r="V30" s="35">
        <v>42388</v>
      </c>
      <c r="W30" s="35">
        <v>42389</v>
      </c>
      <c r="X30" s="35">
        <v>42390</v>
      </c>
      <c r="Y30" s="35">
        <v>42391</v>
      </c>
      <c r="Z30" s="35">
        <v>42392</v>
      </c>
      <c r="AA30" s="35">
        <v>42393</v>
      </c>
      <c r="AB30" s="35">
        <v>42394</v>
      </c>
      <c r="AC30" s="35">
        <v>42395</v>
      </c>
      <c r="AD30" s="35">
        <v>42396</v>
      </c>
      <c r="AE30" s="35">
        <v>42397</v>
      </c>
      <c r="AF30" s="35">
        <v>42398</v>
      </c>
      <c r="AG30" s="35">
        <v>30</v>
      </c>
      <c r="AH30" s="35">
        <v>31</v>
      </c>
      <c r="AI30" s="36" t="s">
        <v>14</v>
      </c>
    </row>
    <row r="31" spans="1:35" x14ac:dyDescent="0.25">
      <c r="A31" s="1"/>
      <c r="B31" s="37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40">
        <f>SUM(D31:AH31)*24</f>
        <v>0</v>
      </c>
    </row>
    <row r="32" spans="1:35" x14ac:dyDescent="0.25">
      <c r="A32" s="1"/>
      <c r="B32" s="37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40">
        <f t="shared" ref="AI32:AI40" si="0">SUM(D32:AH32)*24</f>
        <v>0</v>
      </c>
    </row>
    <row r="33" spans="1:35" x14ac:dyDescent="0.25">
      <c r="A33" s="1"/>
      <c r="B33" s="37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40">
        <f t="shared" si="0"/>
        <v>0</v>
      </c>
    </row>
    <row r="34" spans="1:35" x14ac:dyDescent="0.25">
      <c r="A34" s="1"/>
      <c r="B34" s="41"/>
      <c r="C34" s="42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40">
        <f t="shared" si="0"/>
        <v>0</v>
      </c>
    </row>
    <row r="35" spans="1:35" x14ac:dyDescent="0.25">
      <c r="A35" s="1"/>
      <c r="B35" s="41"/>
      <c r="C35" s="42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40">
        <f t="shared" si="0"/>
        <v>0</v>
      </c>
    </row>
    <row r="36" spans="1:35" x14ac:dyDescent="0.25">
      <c r="A36" s="1"/>
      <c r="B36" s="41"/>
      <c r="C36" s="42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40">
        <f t="shared" si="0"/>
        <v>0</v>
      </c>
    </row>
    <row r="37" spans="1:35" x14ac:dyDescent="0.25">
      <c r="A37" s="1"/>
      <c r="B37" s="41"/>
      <c r="C37" s="42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40">
        <f t="shared" si="0"/>
        <v>0</v>
      </c>
    </row>
    <row r="38" spans="1:35" x14ac:dyDescent="0.25">
      <c r="A38" s="1"/>
      <c r="B38" s="41"/>
      <c r="C38" s="42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40">
        <f t="shared" si="0"/>
        <v>0</v>
      </c>
    </row>
    <row r="39" spans="1:35" x14ac:dyDescent="0.25">
      <c r="A39" s="1"/>
      <c r="B39" s="41"/>
      <c r="C39" s="42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40">
        <f t="shared" si="0"/>
        <v>0</v>
      </c>
    </row>
    <row r="40" spans="1:35" x14ac:dyDescent="0.25">
      <c r="A40" s="1"/>
      <c r="B40" s="41"/>
      <c r="C40" s="42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40">
        <f t="shared" si="0"/>
        <v>0</v>
      </c>
    </row>
    <row r="41" spans="1:35" x14ac:dyDescent="0.25">
      <c r="A41" s="30"/>
      <c r="B41" s="43" t="s">
        <v>15</v>
      </c>
      <c r="C41" s="44"/>
      <c r="D41" s="45">
        <f>SUM(D31:D40)*24</f>
        <v>0</v>
      </c>
      <c r="E41" s="45">
        <f t="shared" ref="E41:AH41" si="1">SUM(E31:E40)*24</f>
        <v>0</v>
      </c>
      <c r="F41" s="45">
        <f t="shared" si="1"/>
        <v>0</v>
      </c>
      <c r="G41" s="45">
        <f t="shared" si="1"/>
        <v>0</v>
      </c>
      <c r="H41" s="45">
        <f t="shared" si="1"/>
        <v>0</v>
      </c>
      <c r="I41" s="45">
        <f t="shared" si="1"/>
        <v>0</v>
      </c>
      <c r="J41" s="45">
        <f t="shared" si="1"/>
        <v>0</v>
      </c>
      <c r="K41" s="45">
        <f t="shared" si="1"/>
        <v>0</v>
      </c>
      <c r="L41" s="45">
        <f t="shared" si="1"/>
        <v>0</v>
      </c>
      <c r="M41" s="45">
        <f t="shared" si="1"/>
        <v>0</v>
      </c>
      <c r="N41" s="45">
        <f t="shared" si="1"/>
        <v>0</v>
      </c>
      <c r="O41" s="45">
        <f t="shared" si="1"/>
        <v>0</v>
      </c>
      <c r="P41" s="45">
        <f t="shared" si="1"/>
        <v>0</v>
      </c>
      <c r="Q41" s="45">
        <f t="shared" si="1"/>
        <v>0</v>
      </c>
      <c r="R41" s="45">
        <f t="shared" si="1"/>
        <v>0</v>
      </c>
      <c r="S41" s="45">
        <f t="shared" si="1"/>
        <v>0</v>
      </c>
      <c r="T41" s="45">
        <f t="shared" si="1"/>
        <v>0</v>
      </c>
      <c r="U41" s="45">
        <f t="shared" si="1"/>
        <v>0</v>
      </c>
      <c r="V41" s="45">
        <f t="shared" si="1"/>
        <v>0</v>
      </c>
      <c r="W41" s="45">
        <f t="shared" si="1"/>
        <v>0</v>
      </c>
      <c r="X41" s="45">
        <f t="shared" si="1"/>
        <v>0</v>
      </c>
      <c r="Y41" s="45">
        <f t="shared" si="1"/>
        <v>0</v>
      </c>
      <c r="Z41" s="45">
        <f t="shared" si="1"/>
        <v>0</v>
      </c>
      <c r="AA41" s="45">
        <f t="shared" si="1"/>
        <v>0</v>
      </c>
      <c r="AB41" s="45">
        <f t="shared" si="1"/>
        <v>0</v>
      </c>
      <c r="AC41" s="45">
        <f t="shared" si="1"/>
        <v>0</v>
      </c>
      <c r="AD41" s="45">
        <f t="shared" si="1"/>
        <v>0</v>
      </c>
      <c r="AE41" s="45">
        <f t="shared" si="1"/>
        <v>0</v>
      </c>
      <c r="AF41" s="45">
        <f t="shared" si="1"/>
        <v>0</v>
      </c>
      <c r="AG41" s="45">
        <f t="shared" si="1"/>
        <v>0</v>
      </c>
      <c r="AH41" s="45">
        <f t="shared" si="1"/>
        <v>0</v>
      </c>
      <c r="AI41" s="45">
        <f>SUM(AI31:AI40)</f>
        <v>0</v>
      </c>
    </row>
    <row r="42" spans="1:35" x14ac:dyDescent="0.25">
      <c r="A42" s="1"/>
      <c r="B42" s="46" t="s">
        <v>16</v>
      </c>
      <c r="C42" s="47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48">
        <f>SUM(D42:AH42)*24</f>
        <v>0</v>
      </c>
    </row>
    <row r="43" spans="1:35" x14ac:dyDescent="0.25">
      <c r="A43" s="1"/>
      <c r="B43" s="49" t="s">
        <v>17</v>
      </c>
      <c r="C43" s="50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48">
        <f>SUM(D43:AH43)*24</f>
        <v>0</v>
      </c>
    </row>
    <row r="44" spans="1:35" x14ac:dyDescent="0.25">
      <c r="A44" s="1"/>
      <c r="B44" s="49" t="s">
        <v>18</v>
      </c>
      <c r="C44" s="50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48">
        <f>SUM(D44:AH44)*24</f>
        <v>0</v>
      </c>
    </row>
    <row r="45" spans="1:35" x14ac:dyDescent="0.25">
      <c r="A45" s="1"/>
      <c r="B45" s="49" t="s">
        <v>19</v>
      </c>
      <c r="C45" s="50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48">
        <f>SUM(D45:AH45)*24</f>
        <v>0</v>
      </c>
    </row>
    <row r="46" spans="1:35" x14ac:dyDescent="0.25">
      <c r="A46" s="1"/>
      <c r="B46" s="51" t="s">
        <v>20</v>
      </c>
      <c r="C46" s="52"/>
      <c r="D46" s="53">
        <f>SUM(D42:D45)*24+D41</f>
        <v>0</v>
      </c>
      <c r="E46" s="53">
        <f t="shared" ref="E46:AG46" si="2">SUM(E42:E45)*24+E41</f>
        <v>0</v>
      </c>
      <c r="F46" s="53">
        <f t="shared" si="2"/>
        <v>0</v>
      </c>
      <c r="G46" s="53">
        <f t="shared" si="2"/>
        <v>0</v>
      </c>
      <c r="H46" s="53">
        <f t="shared" si="2"/>
        <v>0</v>
      </c>
      <c r="I46" s="53">
        <f t="shared" si="2"/>
        <v>0</v>
      </c>
      <c r="J46" s="53">
        <f t="shared" si="2"/>
        <v>0</v>
      </c>
      <c r="K46" s="53">
        <f t="shared" si="2"/>
        <v>0</v>
      </c>
      <c r="L46" s="53">
        <f t="shared" si="2"/>
        <v>0</v>
      </c>
      <c r="M46" s="53">
        <f t="shared" si="2"/>
        <v>0</v>
      </c>
      <c r="N46" s="53">
        <f t="shared" si="2"/>
        <v>0</v>
      </c>
      <c r="O46" s="53">
        <f t="shared" si="2"/>
        <v>0</v>
      </c>
      <c r="P46" s="53">
        <f t="shared" si="2"/>
        <v>0</v>
      </c>
      <c r="Q46" s="53">
        <f t="shared" si="2"/>
        <v>0</v>
      </c>
      <c r="R46" s="53">
        <f t="shared" si="2"/>
        <v>0</v>
      </c>
      <c r="S46" s="53">
        <f t="shared" si="2"/>
        <v>0</v>
      </c>
      <c r="T46" s="53">
        <f t="shared" si="2"/>
        <v>0</v>
      </c>
      <c r="U46" s="53">
        <f t="shared" si="2"/>
        <v>0</v>
      </c>
      <c r="V46" s="53">
        <f t="shared" si="2"/>
        <v>0</v>
      </c>
      <c r="W46" s="53">
        <f t="shared" si="2"/>
        <v>0</v>
      </c>
      <c r="X46" s="53">
        <f t="shared" si="2"/>
        <v>0</v>
      </c>
      <c r="Y46" s="53">
        <f t="shared" si="2"/>
        <v>0</v>
      </c>
      <c r="Z46" s="53">
        <f t="shared" si="2"/>
        <v>0</v>
      </c>
      <c r="AA46" s="53">
        <f t="shared" si="2"/>
        <v>0</v>
      </c>
      <c r="AB46" s="53">
        <f t="shared" si="2"/>
        <v>0</v>
      </c>
      <c r="AC46" s="53">
        <f t="shared" si="2"/>
        <v>0</v>
      </c>
      <c r="AD46" s="53">
        <f t="shared" si="2"/>
        <v>0</v>
      </c>
      <c r="AE46" s="53">
        <f t="shared" si="2"/>
        <v>0</v>
      </c>
      <c r="AF46" s="53">
        <f t="shared" si="2"/>
        <v>0</v>
      </c>
      <c r="AG46" s="53">
        <f t="shared" si="2"/>
        <v>0</v>
      </c>
      <c r="AH46" s="53"/>
      <c r="AI46" s="53">
        <f>SUM(AI41:AI45)</f>
        <v>0</v>
      </c>
    </row>
    <row r="47" spans="1:3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25">
      <c r="A49" s="1"/>
      <c r="B49" s="29" t="s">
        <v>21</v>
      </c>
      <c r="C49" s="2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25">
      <c r="A52" s="1"/>
      <c r="B52" s="1"/>
      <c r="C52" s="1"/>
      <c r="D52" s="1"/>
      <c r="E52" s="1"/>
      <c r="F52" s="22" t="s">
        <v>22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30" t="s">
        <v>23</v>
      </c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5">
      <c r="A54" s="1"/>
      <c r="B54" s="1"/>
      <c r="C54" s="1"/>
      <c r="D54" s="1"/>
      <c r="E54" s="1"/>
      <c r="F54" s="25"/>
      <c r="G54" s="25"/>
      <c r="H54" s="25"/>
      <c r="I54" s="25"/>
      <c r="J54" s="2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5"/>
      <c r="AA54" s="25"/>
      <c r="AB54" s="25"/>
      <c r="AC54" s="25"/>
      <c r="AD54" s="25"/>
      <c r="AE54" s="25"/>
      <c r="AF54" s="25"/>
      <c r="AG54" s="1"/>
      <c r="AH54" s="1"/>
      <c r="AI54" s="1"/>
    </row>
    <row r="55" spans="1:3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5">
      <c r="A56" s="1"/>
      <c r="B56" s="1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25">
      <c r="A58" s="1"/>
      <c r="B58" s="55" t="s">
        <v>24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25">
      <c r="A59" s="1"/>
      <c r="B59" s="54" t="s">
        <v>25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25">
      <c r="A60" s="1"/>
      <c r="B60" s="54" t="s">
        <v>26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5">
      <c r="A61" s="1"/>
      <c r="B61" s="56" t="s">
        <v>27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</sheetData>
  <mergeCells count="26">
    <mergeCell ref="B45:C45"/>
    <mergeCell ref="B46:C46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R19:U19"/>
    <mergeCell ref="V20:Z20"/>
    <mergeCell ref="B29:C30"/>
    <mergeCell ref="D29:AI29"/>
    <mergeCell ref="B31:C31"/>
    <mergeCell ref="B32:C32"/>
    <mergeCell ref="B1:B9"/>
    <mergeCell ref="C1:C9"/>
    <mergeCell ref="D1:D9"/>
    <mergeCell ref="E1:E9"/>
    <mergeCell ref="F1:F9"/>
    <mergeCell ref="B12:A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8DCE-08CB-41DB-B158-F8EAE989323C}">
  <dimension ref="A1:AM57"/>
  <sheetViews>
    <sheetView topLeftCell="A7" zoomScale="70" zoomScaleNormal="70" workbookViewId="0">
      <selection activeCell="AI52" sqref="AI52"/>
    </sheetView>
  </sheetViews>
  <sheetFormatPr defaultRowHeight="15" x14ac:dyDescent="0.25"/>
  <cols>
    <col min="1" max="1" width="6.140625" customWidth="1"/>
    <col min="2" max="2" width="31.140625" customWidth="1"/>
    <col min="3" max="3" width="26.42578125" customWidth="1"/>
    <col min="35" max="35" width="17.140625" customWidth="1"/>
  </cols>
  <sheetData>
    <row r="1" spans="1:39" x14ac:dyDescent="0.25">
      <c r="A1" s="1"/>
      <c r="B1" s="2"/>
      <c r="C1" s="3" t="s">
        <v>0</v>
      </c>
      <c r="D1" s="4"/>
      <c r="E1" s="5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2"/>
      <c r="C2" s="7"/>
      <c r="D2" s="4"/>
      <c r="E2" s="5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1"/>
      <c r="B3" s="2"/>
      <c r="C3" s="7"/>
      <c r="D3" s="4"/>
      <c r="E3" s="5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1"/>
      <c r="B4" s="2"/>
      <c r="C4" s="7"/>
      <c r="D4" s="4"/>
      <c r="E4" s="5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1"/>
      <c r="B5" s="2"/>
      <c r="C5" s="7"/>
      <c r="D5" s="4"/>
      <c r="E5" s="5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1"/>
      <c r="B6" s="2"/>
      <c r="C6" s="7"/>
      <c r="D6" s="4"/>
      <c r="E6" s="5"/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25">
      <c r="A7" s="1"/>
      <c r="B7" s="2"/>
      <c r="C7" s="7"/>
      <c r="D7" s="4"/>
      <c r="E7" s="5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1"/>
      <c r="B8" s="2"/>
      <c r="C8" s="7"/>
      <c r="D8" s="4"/>
      <c r="E8" s="5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25">
      <c r="A9" s="1"/>
      <c r="B9" s="2"/>
      <c r="C9" s="8"/>
      <c r="D9" s="4"/>
      <c r="E9" s="5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x14ac:dyDescent="0.25">
      <c r="A10" s="1"/>
      <c r="B10" s="1"/>
      <c r="C10" s="1"/>
      <c r="D10" s="9"/>
      <c r="E10" s="10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22.5" x14ac:dyDescent="0.3">
      <c r="A12" s="1"/>
      <c r="B12" s="12" t="s">
        <v>28</v>
      </c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"/>
      <c r="AK12" s="1"/>
      <c r="AL12" s="1"/>
      <c r="AM12" s="1"/>
    </row>
    <row r="13" spans="1:39" ht="22.5" x14ac:dyDescent="0.3">
      <c r="A13" s="1"/>
      <c r="B13" s="14"/>
      <c r="C13" s="14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"/>
      <c r="AK13" s="1"/>
      <c r="AL13" s="1"/>
      <c r="AM13" s="1"/>
    </row>
    <row r="14" spans="1:3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25">
      <c r="A15" s="1"/>
      <c r="B15" s="16" t="s">
        <v>2</v>
      </c>
      <c r="C15" s="16"/>
      <c r="D15" s="23"/>
      <c r="E15" s="25"/>
      <c r="F15" s="18" t="s">
        <v>3</v>
      </c>
      <c r="G15" s="19"/>
      <c r="H15" s="19"/>
      <c r="I15" s="20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1"/>
      <c r="AK15" s="1"/>
      <c r="AL15" s="1"/>
      <c r="AM15" s="1"/>
    </row>
    <row r="16" spans="1:39" x14ac:dyDescent="0.25">
      <c r="A16" s="1"/>
      <c r="B16" s="21"/>
      <c r="C16" s="21"/>
      <c r="D16" s="21"/>
      <c r="E16" s="20"/>
      <c r="F16" s="20"/>
      <c r="G16" s="18"/>
      <c r="H16" s="20"/>
      <c r="I16" s="20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1"/>
      <c r="AK16" s="1"/>
      <c r="AL16" s="1"/>
      <c r="AM16" s="1"/>
    </row>
    <row r="17" spans="1:39" ht="29.25" x14ac:dyDescent="0.25">
      <c r="A17" s="1"/>
      <c r="B17" s="57" t="s">
        <v>29</v>
      </c>
      <c r="C17" s="24"/>
      <c r="D17" s="19"/>
      <c r="E17" s="25"/>
      <c r="F17" s="19"/>
      <c r="G17" s="19"/>
      <c r="H17" s="19"/>
      <c r="I17" s="20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1"/>
      <c r="AK17" s="1"/>
      <c r="AL17" s="1"/>
      <c r="AM17" s="1"/>
    </row>
    <row r="18" spans="1:39" x14ac:dyDescent="0.25">
      <c r="A18" s="1"/>
      <c r="B18" s="16"/>
      <c r="C18" s="24"/>
      <c r="D18" s="24"/>
      <c r="E18" s="20"/>
      <c r="F18" s="20"/>
      <c r="G18" s="20"/>
      <c r="H18" s="20"/>
      <c r="I18" s="20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"/>
      <c r="AK18" s="1"/>
      <c r="AL18" s="1"/>
      <c r="AM18" s="1"/>
    </row>
    <row r="19" spans="1:39" x14ac:dyDescent="0.25">
      <c r="A19" s="1"/>
      <c r="B19" s="16" t="s">
        <v>5</v>
      </c>
      <c r="C19" s="24"/>
      <c r="D19" s="19"/>
      <c r="E19" s="25"/>
      <c r="F19" s="19"/>
      <c r="G19" s="19"/>
      <c r="H19" s="19"/>
      <c r="I19" s="20"/>
      <c r="J19" s="20"/>
      <c r="K19" s="20"/>
      <c r="L19" s="20"/>
      <c r="M19" s="20"/>
      <c r="N19" s="20"/>
      <c r="O19" s="21"/>
      <c r="P19" s="21"/>
      <c r="Q19" s="21"/>
      <c r="R19" s="22" t="s">
        <v>6</v>
      </c>
      <c r="S19" s="26"/>
      <c r="T19" s="27"/>
      <c r="U19" s="27"/>
      <c r="V19" s="28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1"/>
      <c r="AK19" s="1"/>
      <c r="AL19" s="1"/>
      <c r="AM19" s="1"/>
    </row>
    <row r="20" spans="1:39" x14ac:dyDescent="0.25">
      <c r="A20" s="1"/>
      <c r="B20" s="22"/>
      <c r="C20" s="21"/>
      <c r="D20" s="21"/>
      <c r="E20" s="20"/>
      <c r="F20" s="20"/>
      <c r="G20" s="20"/>
      <c r="H20" s="20"/>
      <c r="I20" s="20"/>
      <c r="J20" s="21"/>
      <c r="K20" s="21"/>
      <c r="L20" s="21"/>
      <c r="M20" s="21"/>
      <c r="N20" s="21"/>
      <c r="O20" s="21"/>
      <c r="P20" s="21"/>
      <c r="Q20" s="21"/>
      <c r="R20" s="22" t="s">
        <v>7</v>
      </c>
      <c r="S20" s="21"/>
      <c r="T20" s="21"/>
      <c r="U20" s="21"/>
      <c r="V20" s="21"/>
      <c r="W20" s="26"/>
      <c r="X20" s="27"/>
      <c r="Y20" s="27"/>
      <c r="Z20" s="27"/>
      <c r="AA20" s="28"/>
      <c r="AB20" s="21"/>
      <c r="AC20" s="21"/>
      <c r="AD20" s="21"/>
      <c r="AE20" s="21"/>
      <c r="AF20" s="21"/>
      <c r="AG20" s="21"/>
      <c r="AH20" s="21"/>
      <c r="AI20" s="21"/>
      <c r="AJ20" s="1"/>
      <c r="AK20" s="1"/>
      <c r="AL20" s="1"/>
      <c r="AM20" s="1"/>
    </row>
    <row r="21" spans="1:39" x14ac:dyDescent="0.25">
      <c r="A21" s="1"/>
      <c r="B21" s="29" t="s">
        <v>8</v>
      </c>
      <c r="C21" s="58"/>
      <c r="D21" s="19"/>
      <c r="E21" s="25"/>
      <c r="F21" s="19"/>
      <c r="G21" s="19"/>
      <c r="H21" s="19"/>
      <c r="I21" s="20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"/>
      <c r="AK21" s="1"/>
      <c r="AL21" s="1"/>
      <c r="AM21" s="1"/>
    </row>
    <row r="22" spans="1:39" x14ac:dyDescent="0.25">
      <c r="A22" s="1"/>
      <c r="B22" s="22"/>
      <c r="C22" s="21"/>
      <c r="D22" s="21"/>
      <c r="E22" s="20"/>
      <c r="F22" s="20"/>
      <c r="G22" s="20"/>
      <c r="H22" s="20"/>
      <c r="I22" s="20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1"/>
      <c r="AK22" s="1"/>
      <c r="AL22" s="1"/>
      <c r="AM22" s="1"/>
    </row>
    <row r="23" spans="1:39" x14ac:dyDescent="0.25">
      <c r="A23" s="1"/>
      <c r="B23" s="30" t="s">
        <v>9</v>
      </c>
      <c r="C23" s="1"/>
      <c r="D23" s="1"/>
      <c r="E23" s="25"/>
      <c r="F23" s="19"/>
      <c r="G23" s="19"/>
      <c r="H23" s="19"/>
      <c r="I23" s="19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1"/>
      <c r="AK23" s="1"/>
      <c r="AL23" s="1"/>
      <c r="AM23" s="1"/>
    </row>
    <row r="24" spans="1:39" x14ac:dyDescent="0.25">
      <c r="A24" s="1"/>
      <c r="B24" s="30"/>
      <c r="C24" s="1"/>
      <c r="D24" s="1"/>
      <c r="E24" s="20"/>
      <c r="F24" s="20"/>
      <c r="G24" s="20"/>
      <c r="H24" s="20"/>
      <c r="I24" s="20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1"/>
      <c r="AK24" s="1"/>
      <c r="AL24" s="1"/>
      <c r="AM24" s="1"/>
    </row>
    <row r="25" spans="1:39" x14ac:dyDescent="0.25">
      <c r="A25" s="1"/>
      <c r="B25" s="16" t="s">
        <v>10</v>
      </c>
      <c r="C25" s="24"/>
      <c r="D25" s="59"/>
      <c r="E25" s="25"/>
      <c r="F25" s="19"/>
      <c r="G25" s="19"/>
      <c r="H25" s="19"/>
      <c r="I25" s="20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1"/>
      <c r="AK25" s="1"/>
      <c r="AL25" s="1"/>
      <c r="AM25" s="1"/>
    </row>
    <row r="26" spans="1:39" x14ac:dyDescent="0.25">
      <c r="A26" s="1"/>
      <c r="B26" s="16"/>
      <c r="C26" s="24"/>
      <c r="D26" s="24"/>
      <c r="E26" s="20"/>
      <c r="F26" s="20"/>
      <c r="G26" s="20"/>
      <c r="H26" s="20"/>
      <c r="I26" s="20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1"/>
      <c r="AK26" s="1"/>
      <c r="AL26" s="1"/>
      <c r="AM26" s="1"/>
    </row>
    <row r="27" spans="1:39" x14ac:dyDescent="0.25">
      <c r="A27" s="1"/>
      <c r="B27" s="16" t="s">
        <v>11</v>
      </c>
      <c r="C27" s="24"/>
      <c r="D27" s="19"/>
      <c r="E27" s="25"/>
      <c r="F27" s="19"/>
      <c r="G27" s="19"/>
      <c r="H27" s="19"/>
      <c r="I27" s="20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60"/>
      <c r="AJ27" s="1"/>
      <c r="AK27" s="1"/>
      <c r="AL27" s="1"/>
      <c r="AM27" s="1"/>
    </row>
    <row r="28" spans="1:39" x14ac:dyDescent="0.25">
      <c r="A28" s="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"/>
      <c r="AK28" s="1"/>
      <c r="AL28" s="1"/>
      <c r="AM28" s="1"/>
    </row>
    <row r="29" spans="1:39" x14ac:dyDescent="0.25">
      <c r="A29" s="1"/>
      <c r="B29" s="61" t="s">
        <v>12</v>
      </c>
      <c r="C29" s="62"/>
      <c r="D29" s="32" t="s">
        <v>30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1"/>
      <c r="AK29" s="1"/>
      <c r="AL29" s="1"/>
      <c r="AM29" s="1"/>
    </row>
    <row r="30" spans="1:39" ht="42.75" x14ac:dyDescent="0.25">
      <c r="A30" s="34"/>
      <c r="B30" s="63"/>
      <c r="C30" s="64"/>
      <c r="D30" s="35">
        <v>42370</v>
      </c>
      <c r="E30" s="35">
        <v>42371</v>
      </c>
      <c r="F30" s="35">
        <v>42372</v>
      </c>
      <c r="G30" s="35">
        <v>42373</v>
      </c>
      <c r="H30" s="35">
        <v>42374</v>
      </c>
      <c r="I30" s="35">
        <v>42375</v>
      </c>
      <c r="J30" s="35">
        <v>42376</v>
      </c>
      <c r="K30" s="35">
        <v>42377</v>
      </c>
      <c r="L30" s="35">
        <v>42378</v>
      </c>
      <c r="M30" s="35">
        <v>42379</v>
      </c>
      <c r="N30" s="35">
        <v>42380</v>
      </c>
      <c r="O30" s="35">
        <v>42381</v>
      </c>
      <c r="P30" s="35">
        <v>42382</v>
      </c>
      <c r="Q30" s="35">
        <v>42383</v>
      </c>
      <c r="R30" s="35">
        <v>42384</v>
      </c>
      <c r="S30" s="35">
        <v>42385</v>
      </c>
      <c r="T30" s="35">
        <v>42386</v>
      </c>
      <c r="U30" s="35">
        <v>42387</v>
      </c>
      <c r="V30" s="35">
        <v>42388</v>
      </c>
      <c r="W30" s="35">
        <v>42389</v>
      </c>
      <c r="X30" s="35">
        <v>42390</v>
      </c>
      <c r="Y30" s="35">
        <v>42391</v>
      </c>
      <c r="Z30" s="35">
        <v>42392</v>
      </c>
      <c r="AA30" s="35">
        <v>42393</v>
      </c>
      <c r="AB30" s="35">
        <v>42394</v>
      </c>
      <c r="AC30" s="35">
        <v>42395</v>
      </c>
      <c r="AD30" s="35">
        <v>42396</v>
      </c>
      <c r="AE30" s="35">
        <v>42397</v>
      </c>
      <c r="AF30" s="35">
        <v>42398</v>
      </c>
      <c r="AG30" s="35">
        <v>30</v>
      </c>
      <c r="AH30" s="35">
        <v>31</v>
      </c>
      <c r="AI30" s="36" t="s">
        <v>14</v>
      </c>
      <c r="AJ30" s="34"/>
      <c r="AK30" s="34"/>
      <c r="AL30" s="34"/>
      <c r="AM30" s="34"/>
    </row>
    <row r="31" spans="1:39" x14ac:dyDescent="0.25">
      <c r="A31" s="1"/>
      <c r="B31" s="65"/>
      <c r="C31" s="65"/>
      <c r="D31" s="39"/>
      <c r="E31" s="39"/>
      <c r="F31" s="39"/>
      <c r="G31" s="66"/>
      <c r="H31" s="66"/>
      <c r="I31" s="67"/>
      <c r="J31" s="67">
        <v>0.3</v>
      </c>
      <c r="K31" s="67">
        <v>0.3</v>
      </c>
      <c r="L31" s="67">
        <v>0.3</v>
      </c>
      <c r="M31" s="67">
        <v>0.3</v>
      </c>
      <c r="N31" s="66"/>
      <c r="O31" s="66"/>
      <c r="P31" s="39"/>
      <c r="Q31" s="39"/>
      <c r="R31" s="39"/>
      <c r="S31" s="39">
        <v>0.29930555555555555</v>
      </c>
      <c r="T31" s="39"/>
      <c r="U31" s="66"/>
      <c r="V31" s="66"/>
      <c r="W31" s="39"/>
      <c r="X31" s="39"/>
      <c r="Y31" s="39"/>
      <c r="Z31" s="39"/>
      <c r="AA31" s="39"/>
      <c r="AB31" s="66"/>
      <c r="AC31" s="66"/>
      <c r="AD31" s="39">
        <v>0.3</v>
      </c>
      <c r="AE31" s="39"/>
      <c r="AF31" s="39"/>
      <c r="AG31" s="39"/>
      <c r="AH31" s="39"/>
      <c r="AI31" s="68">
        <f>SUM(D31:AH31)*24</f>
        <v>43.18333333333333</v>
      </c>
      <c r="AJ31" s="1"/>
      <c r="AK31" s="1"/>
      <c r="AL31" s="1"/>
      <c r="AM31" s="1"/>
    </row>
    <row r="32" spans="1:39" x14ac:dyDescent="0.25">
      <c r="A32" s="1"/>
      <c r="B32" s="65"/>
      <c r="C32" s="65"/>
      <c r="D32" s="39"/>
      <c r="E32" s="39"/>
      <c r="F32" s="39"/>
      <c r="G32" s="66"/>
      <c r="H32" s="66"/>
      <c r="I32" s="69"/>
      <c r="J32" s="69"/>
      <c r="K32" s="69"/>
      <c r="L32" s="69"/>
      <c r="M32" s="70"/>
      <c r="N32" s="66"/>
      <c r="O32" s="66"/>
      <c r="P32" s="39"/>
      <c r="Q32" s="39"/>
      <c r="R32" s="39"/>
      <c r="S32" s="39"/>
      <c r="T32" s="39">
        <v>0.3</v>
      </c>
      <c r="U32" s="66"/>
      <c r="V32" s="66"/>
      <c r="W32" s="39"/>
      <c r="X32" s="39"/>
      <c r="Y32" s="39"/>
      <c r="Z32" s="39">
        <v>0.32500000000000001</v>
      </c>
      <c r="AA32" s="39"/>
      <c r="AB32" s="66"/>
      <c r="AC32" s="66"/>
      <c r="AD32" s="39"/>
      <c r="AE32" s="39"/>
      <c r="AF32" s="39"/>
      <c r="AG32" s="39"/>
      <c r="AH32" s="39"/>
      <c r="AI32" s="68">
        <f>SUM(D32:AH32)*24</f>
        <v>15</v>
      </c>
      <c r="AJ32" s="1"/>
      <c r="AK32" s="1"/>
      <c r="AL32" s="1"/>
      <c r="AM32" s="1"/>
    </row>
    <row r="33" spans="1:39" x14ac:dyDescent="0.25">
      <c r="A33" s="1"/>
      <c r="B33" s="65"/>
      <c r="C33" s="65"/>
      <c r="D33" s="39"/>
      <c r="E33" s="39">
        <v>8.3333333333333329E-2</v>
      </c>
      <c r="F33" s="39"/>
      <c r="G33" s="71"/>
      <c r="H33" s="71"/>
      <c r="I33" s="72"/>
      <c r="J33" s="72"/>
      <c r="K33" s="72"/>
      <c r="L33" s="72"/>
      <c r="M33" s="72"/>
      <c r="N33" s="73"/>
      <c r="O33" s="73"/>
      <c r="P33" s="39"/>
      <c r="Q33" s="39">
        <v>0.125</v>
      </c>
      <c r="R33" s="39"/>
      <c r="S33" s="39"/>
      <c r="T33" s="39"/>
      <c r="U33" s="73"/>
      <c r="V33" s="73"/>
      <c r="W33" s="39"/>
      <c r="X33" s="39">
        <v>0.28472222222222221</v>
      </c>
      <c r="Y33" s="39"/>
      <c r="Z33" s="39"/>
      <c r="AA33" s="39"/>
      <c r="AB33" s="73"/>
      <c r="AC33" s="73"/>
      <c r="AD33" s="39"/>
      <c r="AE33" s="39"/>
      <c r="AF33" s="39"/>
      <c r="AG33" s="39"/>
      <c r="AH33" s="39"/>
      <c r="AI33" s="68">
        <f>SUM(D33:AH33)*24</f>
        <v>11.833333333333332</v>
      </c>
      <c r="AJ33" s="1"/>
      <c r="AK33" s="1"/>
      <c r="AL33" s="1"/>
      <c r="AM33" s="1"/>
    </row>
    <row r="34" spans="1:39" x14ac:dyDescent="0.25">
      <c r="A34" s="1"/>
      <c r="B34" s="65"/>
      <c r="C34" s="65"/>
      <c r="D34" s="39"/>
      <c r="E34" s="39"/>
      <c r="F34" s="39">
        <v>0.28472222222222221</v>
      </c>
      <c r="G34" s="71"/>
      <c r="H34" s="71"/>
      <c r="I34" s="74"/>
      <c r="J34" s="74"/>
      <c r="K34" s="74"/>
      <c r="L34" s="74"/>
      <c r="M34" s="74"/>
      <c r="N34" s="75"/>
      <c r="O34" s="76"/>
      <c r="P34" s="77"/>
      <c r="Q34" s="77"/>
      <c r="R34" s="77">
        <v>0.22916666666666666</v>
      </c>
      <c r="S34" s="77"/>
      <c r="T34" s="78"/>
      <c r="U34" s="75"/>
      <c r="V34" s="75"/>
      <c r="W34" s="39"/>
      <c r="X34" s="39"/>
      <c r="Y34" s="39"/>
      <c r="Z34" s="39"/>
      <c r="AA34" s="39">
        <v>0.29236111111111113</v>
      </c>
      <c r="AB34" s="75"/>
      <c r="AC34" s="75"/>
      <c r="AD34" s="39"/>
      <c r="AE34" s="39"/>
      <c r="AF34" s="39"/>
      <c r="AG34" s="39"/>
      <c r="AH34" s="39"/>
      <c r="AI34" s="68">
        <f>SUM(D34:AH34)*24</f>
        <v>19.349999999999998</v>
      </c>
      <c r="AJ34" s="1"/>
      <c r="AK34" s="1"/>
      <c r="AL34" s="1"/>
      <c r="AM34" s="1"/>
    </row>
    <row r="35" spans="1:39" x14ac:dyDescent="0.25">
      <c r="A35" s="1"/>
      <c r="B35" s="79" t="s">
        <v>15</v>
      </c>
      <c r="C35" s="80"/>
      <c r="D35" s="45">
        <f>SUM(D31:D34)*24</f>
        <v>0</v>
      </c>
      <c r="E35" s="45">
        <f>SUM(E31:E34)*24</f>
        <v>2</v>
      </c>
      <c r="F35" s="45">
        <f>SUM(F31:F34)*24</f>
        <v>6.833333333333333</v>
      </c>
      <c r="G35" s="53"/>
      <c r="H35" s="53"/>
      <c r="I35" s="45">
        <f>SUM(I31:I34)*24</f>
        <v>0</v>
      </c>
      <c r="J35" s="45">
        <f>SUM(J31:J34)*24</f>
        <v>7.1999999999999993</v>
      </c>
      <c r="K35" s="45">
        <f>SUM(K31:K34)*24</f>
        <v>7.1999999999999993</v>
      </c>
      <c r="L35" s="45">
        <f>SUM(L31:L34)*24</f>
        <v>7.1999999999999993</v>
      </c>
      <c r="M35" s="45">
        <f>SUM(M31:M34)*24</f>
        <v>7.1999999999999993</v>
      </c>
      <c r="N35" s="53"/>
      <c r="O35" s="53"/>
      <c r="P35" s="45">
        <f>SUM(P31:P34)*24</f>
        <v>0</v>
      </c>
      <c r="Q35" s="45">
        <f>SUM(Q31:Q34)*24</f>
        <v>3</v>
      </c>
      <c r="R35" s="45">
        <f>SUM(R31:R34)*24</f>
        <v>5.5</v>
      </c>
      <c r="S35" s="45">
        <f>SUM(S31:S34)*24</f>
        <v>7.1833333333333336</v>
      </c>
      <c r="T35" s="45">
        <f>SUM(T31:T34)*24</f>
        <v>7.1999999999999993</v>
      </c>
      <c r="U35" s="53"/>
      <c r="V35" s="53"/>
      <c r="W35" s="45">
        <f>SUM(W31:W34)*24</f>
        <v>0</v>
      </c>
      <c r="X35" s="45">
        <f>SUM(X31:X34)*24</f>
        <v>6.833333333333333</v>
      </c>
      <c r="Y35" s="45">
        <f>SUM(Y31:Y34)*24</f>
        <v>0</v>
      </c>
      <c r="Z35" s="45">
        <f>SUM(Z31:Z34)*24</f>
        <v>7.8000000000000007</v>
      </c>
      <c r="AA35" s="45">
        <f>SUM(AA31:AA34)*24</f>
        <v>7.0166666666666675</v>
      </c>
      <c r="AB35" s="53"/>
      <c r="AC35" s="53"/>
      <c r="AD35" s="45">
        <f>SUM(AD31:AD34)*24</f>
        <v>7.1999999999999993</v>
      </c>
      <c r="AE35" s="45">
        <f>SUM(AE31:AE34)*24</f>
        <v>0</v>
      </c>
      <c r="AF35" s="45">
        <f>SUM(AF31:AF34)*24</f>
        <v>0</v>
      </c>
      <c r="AG35" s="45">
        <f>SUM(AG31:AG34)*24</f>
        <v>0</v>
      </c>
      <c r="AH35" s="45">
        <f>SUM(AH31:AH34)*24</f>
        <v>0</v>
      </c>
      <c r="AI35" s="81">
        <f>SUM(AI31:AI34)</f>
        <v>89.36666666666666</v>
      </c>
      <c r="AJ35" s="1"/>
      <c r="AK35" s="82"/>
      <c r="AL35" s="1"/>
      <c r="AM35" s="1"/>
    </row>
    <row r="36" spans="1:39" x14ac:dyDescent="0.25">
      <c r="A36" s="1"/>
      <c r="B36" s="65"/>
      <c r="C36" s="65"/>
      <c r="D36" s="39"/>
      <c r="E36" s="39"/>
      <c r="F36" s="39"/>
      <c r="G36" s="66"/>
      <c r="H36" s="66"/>
      <c r="I36" s="39"/>
      <c r="J36" s="39"/>
      <c r="K36" s="39"/>
      <c r="L36" s="39"/>
      <c r="M36" s="39"/>
      <c r="N36" s="66"/>
      <c r="O36" s="66"/>
      <c r="P36" s="39"/>
      <c r="Q36" s="39"/>
      <c r="R36" s="39"/>
      <c r="S36" s="39"/>
      <c r="T36" s="39"/>
      <c r="U36" s="66"/>
      <c r="V36" s="66"/>
      <c r="W36" s="39"/>
      <c r="X36" s="39"/>
      <c r="Y36" s="39"/>
      <c r="Z36" s="39"/>
      <c r="AA36" s="39"/>
      <c r="AB36" s="66"/>
      <c r="AC36" s="66"/>
      <c r="AD36" s="39"/>
      <c r="AE36" s="39"/>
      <c r="AF36" s="39"/>
      <c r="AG36" s="39"/>
      <c r="AH36" s="39"/>
      <c r="AI36" s="68">
        <f>SUM(D36:AH36)*24</f>
        <v>0</v>
      </c>
      <c r="AJ36" s="1"/>
      <c r="AK36" s="1"/>
      <c r="AL36" s="1"/>
      <c r="AM36" s="1"/>
    </row>
    <row r="37" spans="1:39" x14ac:dyDescent="0.25">
      <c r="A37" s="1"/>
      <c r="B37" s="65" t="s">
        <v>31</v>
      </c>
      <c r="C37" s="65"/>
      <c r="D37" s="39"/>
      <c r="E37" s="39"/>
      <c r="F37" s="39"/>
      <c r="G37" s="73"/>
      <c r="H37" s="73"/>
      <c r="I37" s="39"/>
      <c r="J37" s="39"/>
      <c r="K37" s="39"/>
      <c r="L37" s="39"/>
      <c r="M37" s="39"/>
      <c r="N37" s="73"/>
      <c r="O37" s="73"/>
      <c r="P37" s="39"/>
      <c r="Q37" s="39"/>
      <c r="R37" s="39"/>
      <c r="S37" s="39"/>
      <c r="T37" s="39"/>
      <c r="U37" s="73"/>
      <c r="V37" s="73"/>
      <c r="W37" s="39"/>
      <c r="X37" s="39"/>
      <c r="Y37" s="39"/>
      <c r="Z37" s="39"/>
      <c r="AA37" s="39"/>
      <c r="AB37" s="73"/>
      <c r="AC37" s="73"/>
      <c r="AD37" s="39"/>
      <c r="AE37" s="39"/>
      <c r="AF37" s="39"/>
      <c r="AG37" s="39"/>
      <c r="AH37" s="39"/>
      <c r="AI37" s="68">
        <f t="shared" ref="AI37:AI43" si="0">SUM(D37:AH37)*24</f>
        <v>0</v>
      </c>
      <c r="AJ37" s="1"/>
      <c r="AK37" s="1"/>
      <c r="AL37" s="1"/>
      <c r="AM37" s="1"/>
    </row>
    <row r="38" spans="1:39" x14ac:dyDescent="0.25">
      <c r="A38" s="1"/>
      <c r="B38" s="65" t="s">
        <v>32</v>
      </c>
      <c r="C38" s="65"/>
      <c r="D38" s="39"/>
      <c r="E38" s="39"/>
      <c r="F38" s="39"/>
      <c r="G38" s="73"/>
      <c r="H38" s="73"/>
      <c r="I38" s="39"/>
      <c r="J38" s="39"/>
      <c r="K38" s="39"/>
      <c r="L38" s="39"/>
      <c r="M38" s="39"/>
      <c r="N38" s="73"/>
      <c r="O38" s="73"/>
      <c r="P38" s="39"/>
      <c r="Q38" s="39"/>
      <c r="R38" s="39"/>
      <c r="S38" s="39"/>
      <c r="T38" s="39"/>
      <c r="U38" s="73"/>
      <c r="V38" s="73"/>
      <c r="W38" s="39"/>
      <c r="X38" s="39"/>
      <c r="Y38" s="39"/>
      <c r="Z38" s="39"/>
      <c r="AA38" s="39"/>
      <c r="AB38" s="73"/>
      <c r="AC38" s="73"/>
      <c r="AD38" s="39"/>
      <c r="AE38" s="39"/>
      <c r="AF38" s="39"/>
      <c r="AG38" s="39"/>
      <c r="AH38" s="39"/>
      <c r="AI38" s="68">
        <f t="shared" si="0"/>
        <v>0</v>
      </c>
      <c r="AJ38" s="1"/>
      <c r="AK38" s="1"/>
      <c r="AL38" s="1"/>
      <c r="AM38" s="1"/>
    </row>
    <row r="39" spans="1:39" x14ac:dyDescent="0.25">
      <c r="A39" s="1"/>
      <c r="B39" s="65" t="s">
        <v>33</v>
      </c>
      <c r="C39" s="65"/>
      <c r="D39" s="39"/>
      <c r="E39" s="39"/>
      <c r="F39" s="39"/>
      <c r="G39" s="73"/>
      <c r="H39" s="73"/>
      <c r="I39" s="39"/>
      <c r="J39" s="39"/>
      <c r="K39" s="39"/>
      <c r="L39" s="39"/>
      <c r="M39" s="39"/>
      <c r="N39" s="73"/>
      <c r="O39" s="73"/>
      <c r="P39" s="39"/>
      <c r="Q39" s="39"/>
      <c r="R39" s="39"/>
      <c r="S39" s="39"/>
      <c r="T39" s="39"/>
      <c r="U39" s="73"/>
      <c r="V39" s="73"/>
      <c r="W39" s="39"/>
      <c r="X39" s="39"/>
      <c r="Y39" s="39"/>
      <c r="Z39" s="39"/>
      <c r="AA39" s="39"/>
      <c r="AB39" s="73"/>
      <c r="AC39" s="73"/>
      <c r="AD39" s="39"/>
      <c r="AE39" s="39"/>
      <c r="AF39" s="39"/>
      <c r="AG39" s="39"/>
      <c r="AH39" s="39"/>
      <c r="AI39" s="68">
        <f t="shared" si="0"/>
        <v>0</v>
      </c>
      <c r="AJ39" s="1"/>
      <c r="AK39" s="1"/>
      <c r="AL39" s="1"/>
      <c r="AM39" s="1"/>
    </row>
    <row r="40" spans="1:39" x14ac:dyDescent="0.25">
      <c r="A40" s="1"/>
      <c r="B40" s="65" t="s">
        <v>34</v>
      </c>
      <c r="C40" s="65"/>
      <c r="D40" s="39"/>
      <c r="E40" s="39"/>
      <c r="F40" s="39"/>
      <c r="G40" s="73"/>
      <c r="H40" s="73"/>
      <c r="I40" s="39"/>
      <c r="J40" s="39"/>
      <c r="K40" s="39"/>
      <c r="L40" s="39"/>
      <c r="M40" s="39"/>
      <c r="N40" s="73"/>
      <c r="O40" s="73"/>
      <c r="P40" s="39">
        <v>0.375</v>
      </c>
      <c r="Q40" s="39"/>
      <c r="R40" s="39"/>
      <c r="S40" s="39"/>
      <c r="T40" s="39"/>
      <c r="U40" s="73"/>
      <c r="V40" s="73"/>
      <c r="W40" s="39"/>
      <c r="X40" s="39"/>
      <c r="Y40" s="39"/>
      <c r="Z40" s="39"/>
      <c r="AA40" s="39"/>
      <c r="AB40" s="73"/>
      <c r="AC40" s="73"/>
      <c r="AD40" s="39"/>
      <c r="AE40" s="39"/>
      <c r="AF40" s="39"/>
      <c r="AG40" s="39"/>
      <c r="AH40" s="39"/>
      <c r="AI40" s="68">
        <f t="shared" si="0"/>
        <v>9</v>
      </c>
      <c r="AJ40" s="1"/>
      <c r="AK40" s="1"/>
      <c r="AL40" s="1"/>
      <c r="AM40" s="1"/>
    </row>
    <row r="41" spans="1:39" x14ac:dyDescent="0.25">
      <c r="A41" s="1"/>
      <c r="B41" s="65" t="s">
        <v>19</v>
      </c>
      <c r="C41" s="65"/>
      <c r="D41" s="39">
        <v>0.375</v>
      </c>
      <c r="E41" s="39"/>
      <c r="F41" s="39"/>
      <c r="G41" s="73"/>
      <c r="H41" s="73"/>
      <c r="I41" s="39">
        <v>0.375</v>
      </c>
      <c r="J41" s="39"/>
      <c r="K41" s="39"/>
      <c r="L41" s="39"/>
      <c r="M41" s="39"/>
      <c r="N41" s="73"/>
      <c r="O41" s="73"/>
      <c r="P41" s="39"/>
      <c r="Q41" s="39"/>
      <c r="R41" s="39"/>
      <c r="S41" s="39"/>
      <c r="T41" s="39"/>
      <c r="U41" s="73"/>
      <c r="V41" s="73"/>
      <c r="W41" s="39"/>
      <c r="X41" s="39"/>
      <c r="Y41" s="39"/>
      <c r="Z41" s="39"/>
      <c r="AA41" s="39"/>
      <c r="AB41" s="73"/>
      <c r="AC41" s="73"/>
      <c r="AD41" s="39"/>
      <c r="AE41" s="39"/>
      <c r="AF41" s="39"/>
      <c r="AG41" s="39"/>
      <c r="AH41" s="39"/>
      <c r="AI41" s="68">
        <f t="shared" si="0"/>
        <v>18</v>
      </c>
      <c r="AJ41" s="1"/>
      <c r="AK41" s="1"/>
      <c r="AL41" s="1"/>
      <c r="AM41" s="1"/>
    </row>
    <row r="42" spans="1:39" x14ac:dyDescent="0.25">
      <c r="A42" s="1"/>
      <c r="B42" s="65" t="s">
        <v>35</v>
      </c>
      <c r="C42" s="65"/>
      <c r="D42" s="39"/>
      <c r="E42" s="39"/>
      <c r="F42" s="39"/>
      <c r="G42" s="73"/>
      <c r="H42" s="73"/>
      <c r="I42" s="39"/>
      <c r="J42" s="39"/>
      <c r="K42" s="39"/>
      <c r="L42" s="39"/>
      <c r="M42" s="39"/>
      <c r="N42" s="73"/>
      <c r="O42" s="73"/>
      <c r="P42" s="39"/>
      <c r="Q42" s="39"/>
      <c r="R42" s="39"/>
      <c r="S42" s="39"/>
      <c r="T42" s="39"/>
      <c r="U42" s="73"/>
      <c r="V42" s="73"/>
      <c r="W42" s="39"/>
      <c r="X42" s="39"/>
      <c r="Y42" s="39"/>
      <c r="Z42" s="39"/>
      <c r="AA42" s="39"/>
      <c r="AB42" s="73"/>
      <c r="AC42" s="73"/>
      <c r="AD42" s="39"/>
      <c r="AE42" s="39"/>
      <c r="AF42" s="39"/>
      <c r="AG42" s="39"/>
      <c r="AH42" s="39"/>
      <c r="AI42" s="68">
        <f t="shared" si="0"/>
        <v>0</v>
      </c>
      <c r="AJ42" s="1"/>
      <c r="AK42" s="1"/>
      <c r="AL42" s="1"/>
      <c r="AM42" s="1"/>
    </row>
    <row r="43" spans="1:39" x14ac:dyDescent="0.25">
      <c r="A43" s="1"/>
      <c r="B43" s="83" t="s">
        <v>36</v>
      </c>
      <c r="C43" s="83"/>
      <c r="D43" s="39"/>
      <c r="E43" s="39"/>
      <c r="F43" s="39"/>
      <c r="G43" s="75"/>
      <c r="H43" s="75"/>
      <c r="I43" s="39"/>
      <c r="J43" s="39"/>
      <c r="K43" s="39"/>
      <c r="L43" s="39"/>
      <c r="M43" s="39"/>
      <c r="N43" s="75"/>
      <c r="O43" s="75"/>
      <c r="P43" s="39"/>
      <c r="Q43" s="39"/>
      <c r="R43" s="39"/>
      <c r="S43" s="39"/>
      <c r="T43" s="39"/>
      <c r="U43" s="75"/>
      <c r="V43" s="75"/>
      <c r="W43" s="39"/>
      <c r="X43" s="39"/>
      <c r="Y43" s="39"/>
      <c r="Z43" s="39"/>
      <c r="AA43" s="39"/>
      <c r="AB43" s="75"/>
      <c r="AC43" s="75"/>
      <c r="AD43" s="39"/>
      <c r="AE43" s="39"/>
      <c r="AF43" s="39"/>
      <c r="AG43" s="39"/>
      <c r="AH43" s="39"/>
      <c r="AI43" s="68">
        <f t="shared" si="0"/>
        <v>0</v>
      </c>
      <c r="AJ43" s="1"/>
      <c r="AK43" s="1"/>
      <c r="AL43" s="1"/>
      <c r="AM43" s="1"/>
    </row>
    <row r="44" spans="1:39" x14ac:dyDescent="0.25">
      <c r="A44" s="1"/>
      <c r="B44" s="84" t="s">
        <v>20</v>
      </c>
      <c r="C44" s="85"/>
      <c r="D44" s="53">
        <f>SUM(D36:D43)*24+D35</f>
        <v>9</v>
      </c>
      <c r="E44" s="53">
        <f>SUM(E36:E43)*24+E35</f>
        <v>2</v>
      </c>
      <c r="F44" s="53">
        <f>SUM(F36:F43)*24+F35</f>
        <v>6.833333333333333</v>
      </c>
      <c r="G44" s="53"/>
      <c r="H44" s="53"/>
      <c r="I44" s="53">
        <f>SUM(I36:I43)*24+I35</f>
        <v>9</v>
      </c>
      <c r="J44" s="53">
        <f>SUM(J36:J43)*24+J35</f>
        <v>7.1999999999999993</v>
      </c>
      <c r="K44" s="53">
        <f>SUM(K36:K43)*24+K35</f>
        <v>7.1999999999999993</v>
      </c>
      <c r="L44" s="53">
        <f>SUM(L36:L43)*24+L35</f>
        <v>7.1999999999999993</v>
      </c>
      <c r="M44" s="53">
        <f>SUM(M36:M43)*24+M35</f>
        <v>7.1999999999999993</v>
      </c>
      <c r="N44" s="53"/>
      <c r="O44" s="53"/>
      <c r="P44" s="53">
        <f>SUM(P36:P43)*24+P35</f>
        <v>9</v>
      </c>
      <c r="Q44" s="53">
        <f>SUM(Q36:Q43)*24+Q35</f>
        <v>3</v>
      </c>
      <c r="R44" s="53">
        <f>SUM(R36:R43)*24+R35</f>
        <v>5.5</v>
      </c>
      <c r="S44" s="53">
        <f>SUM(S36:S43)*24+S35</f>
        <v>7.1833333333333336</v>
      </c>
      <c r="T44" s="53">
        <f>SUM(T36:T43)*24+T35</f>
        <v>7.1999999999999993</v>
      </c>
      <c r="U44" s="53"/>
      <c r="V44" s="53"/>
      <c r="W44" s="53">
        <f>SUM(W36:W43)*24+W35</f>
        <v>0</v>
      </c>
      <c r="X44" s="53">
        <f>SUM(X36:X43)*24+X35</f>
        <v>6.833333333333333</v>
      </c>
      <c r="Y44" s="53">
        <f>SUM(Y36:Y43)*24+Y35</f>
        <v>0</v>
      </c>
      <c r="Z44" s="53">
        <f>SUM(Z36:Z43)*24+Z35</f>
        <v>7.8000000000000007</v>
      </c>
      <c r="AA44" s="53">
        <f>SUM(AA36:AA43)*24+AA35</f>
        <v>7.0166666666666675</v>
      </c>
      <c r="AB44" s="53"/>
      <c r="AC44" s="53"/>
      <c r="AD44" s="53">
        <f>SUM(AD36:AD43)*24+AD35</f>
        <v>7.1999999999999993</v>
      </c>
      <c r="AE44" s="53">
        <f>SUM(AE36:AE43)*24+AE35</f>
        <v>0</v>
      </c>
      <c r="AF44" s="53">
        <f>SUM(AF36:AF43)*24+AF35</f>
        <v>0</v>
      </c>
      <c r="AG44" s="53">
        <f>SUM(AG36:AG43)*24+AG35</f>
        <v>0</v>
      </c>
      <c r="AH44" s="53">
        <f>SUM(AH36:AH43)*24+AH35</f>
        <v>0</v>
      </c>
      <c r="AI44" s="53">
        <f>SUM(AI35:AI43)</f>
        <v>116.36666666666666</v>
      </c>
      <c r="AJ44" s="1"/>
      <c r="AK44" s="1"/>
      <c r="AL44" s="1"/>
      <c r="AM44" s="1"/>
    </row>
    <row r="45" spans="1:3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25">
      <c r="A46" s="1"/>
      <c r="B46" s="1"/>
      <c r="C46" s="2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25">
      <c r="A48" s="1"/>
      <c r="B48" s="29" t="s">
        <v>38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x14ac:dyDescent="0.25">
      <c r="A50" s="1"/>
      <c r="B50" s="1"/>
      <c r="C50" s="1"/>
      <c r="D50" s="1"/>
      <c r="E50" s="1"/>
      <c r="F50" s="22" t="s">
        <v>22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30" t="s">
        <v>23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x14ac:dyDescent="0.25">
      <c r="A52" s="1"/>
      <c r="B52" s="1"/>
      <c r="C52" s="1"/>
      <c r="D52" s="1"/>
      <c r="E52" s="1"/>
      <c r="F52" s="25"/>
      <c r="G52" s="25"/>
      <c r="H52" s="25"/>
      <c r="I52" s="25"/>
      <c r="J52" s="2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5"/>
      <c r="AA52" s="25"/>
      <c r="AB52" s="25"/>
      <c r="AC52" s="25"/>
      <c r="AD52" s="25"/>
      <c r="AE52" s="25"/>
      <c r="AF52" s="25"/>
      <c r="AG52" s="1"/>
      <c r="AH52" s="1"/>
      <c r="AI52" s="1"/>
      <c r="AJ52" s="1"/>
      <c r="AK52" s="1"/>
      <c r="AL52" s="1"/>
      <c r="AM52" s="1"/>
    </row>
    <row r="53" spans="1:39" x14ac:dyDescent="0.25">
      <c r="A53" s="1"/>
      <c r="B53" s="1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x14ac:dyDescent="0.25">
      <c r="A57" s="1"/>
      <c r="B57" s="54" t="s">
        <v>37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</sheetData>
  <mergeCells count="24"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S19:V19"/>
    <mergeCell ref="W20:AA20"/>
    <mergeCell ref="B29:C30"/>
    <mergeCell ref="D29:AI29"/>
    <mergeCell ref="B31:C31"/>
    <mergeCell ref="B32:C32"/>
    <mergeCell ref="B1:B9"/>
    <mergeCell ref="C1:C9"/>
    <mergeCell ref="D1:D9"/>
    <mergeCell ref="E1:E9"/>
    <mergeCell ref="F1:F9"/>
    <mergeCell ref="B12:AI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mese</vt:lpstr>
      <vt:lpstr>esempio</vt:lpstr>
    </vt:vector>
  </TitlesOfParts>
  <Company>DIP AMBIENTE REGIONE CALABRIA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Prigoliti</dc:creator>
  <cp:lastModifiedBy>Maria Prigoliti</cp:lastModifiedBy>
  <dcterms:created xsi:type="dcterms:W3CDTF">2026-02-25T15:12:07Z</dcterms:created>
  <dcterms:modified xsi:type="dcterms:W3CDTF">2026-02-25T15:15:39Z</dcterms:modified>
</cp:coreProperties>
</file>